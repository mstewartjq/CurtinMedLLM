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fdc2cd2067004d/"/>
    </mc:Choice>
  </mc:AlternateContent>
  <xr:revisionPtr revIDLastSave="0" documentId="8_{B2327FB2-074D-4AD3-BC49-E666A89ABDC7}" xr6:coauthVersionLast="47" xr6:coauthVersionMax="47" xr10:uidLastSave="{00000000-0000-0000-0000-000000000000}"/>
  <bookViews>
    <workbookView xWindow="1515" yWindow="2265" windowWidth="28275" windowHeight="12690" activeTab="1" xr2:uid="{0F9625CF-541F-45A0-80C5-B89692EBFE8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L5" i="2"/>
  <c r="L6" i="2"/>
  <c r="K6" i="2"/>
  <c r="L4" i="2"/>
  <c r="K4" i="2"/>
  <c r="B4" i="2"/>
</calcChain>
</file>

<file path=xl/sharedStrings.xml><?xml version="1.0" encoding="utf-8"?>
<sst xmlns="http://schemas.openxmlformats.org/spreadsheetml/2006/main" count="146" uniqueCount="93">
  <si>
    <t>Model</t>
  </si>
  <si>
    <t>Gemma 3: 4B</t>
  </si>
  <si>
    <t>Clinical Diagnosis</t>
  </si>
  <si>
    <t>Final Diagnosis</t>
  </si>
  <si>
    <t>Metastatic melanoma</t>
  </si>
  <si>
    <t>Pulmonary histoplasmosis</t>
  </si>
  <si>
    <t>Metastatic Melanoma</t>
  </si>
  <si>
    <t>Score</t>
  </si>
  <si>
    <t>N/A</t>
  </si>
  <si>
    <t>Human immunodeficiency virus type 2 infection and cerebral toxoplasmosis</t>
  </si>
  <si>
    <t>Vasogenic edema with intraaxial mass</t>
  </si>
  <si>
    <t>Borrelia miyamotoi infection</t>
  </si>
  <si>
    <t>Vasculitic Encephalopathy*</t>
  </si>
  <si>
    <t>*Model remarked on the difficulty of the case and suggested more testing and alternate diagnosis.</t>
  </si>
  <si>
    <t>Case 16-202</t>
  </si>
  <si>
    <t>Case 27-2020</t>
  </si>
  <si>
    <t>Case 32-2020</t>
  </si>
  <si>
    <t>Case 39-2020</t>
  </si>
  <si>
    <t>Case 3-2021</t>
  </si>
  <si>
    <t>Case 36-2021</t>
  </si>
  <si>
    <t>Case 3-2022</t>
  </si>
  <si>
    <t>Case 15-2022</t>
  </si>
  <si>
    <t>Case 21-2022</t>
  </si>
  <si>
    <t>Case 33-2022</t>
  </si>
  <si>
    <t>Vitamin D deficiency</t>
  </si>
  <si>
    <t>Hypocalcemia</t>
  </si>
  <si>
    <t>Systemic primary amyloidosis</t>
  </si>
  <si>
    <t>Giant Cell Arteritis</t>
  </si>
  <si>
    <t>Cutaneous bacterial infection</t>
  </si>
  <si>
    <t>Erysipelothrix rhusiopathiae infection</t>
  </si>
  <si>
    <t>Psoriatic Arthritis</t>
  </si>
  <si>
    <t>Inflammatory bowel disease (Crohn's)</t>
  </si>
  <si>
    <t>Juvenile Rheumatoid Arthritis</t>
  </si>
  <si>
    <t>Aspiration pneumonia</t>
  </si>
  <si>
    <t>Granulomatous Polymyalgia Rheumatica*</t>
  </si>
  <si>
    <t>Granulomatosis with polyangiitis</t>
  </si>
  <si>
    <t>Hemolytic Anemia</t>
  </si>
  <si>
    <t>Sarcoidosis or tuberculosis</t>
  </si>
  <si>
    <t>Sarcoidosis</t>
  </si>
  <si>
    <t>Uveitis</t>
  </si>
  <si>
    <t>Comments</t>
  </si>
  <si>
    <t>Mostly consistent with some changes between test runs</t>
  </si>
  <si>
    <t>Deepseek-r1:7B</t>
  </si>
  <si>
    <t>Multiple sclerosis (MS)</t>
  </si>
  <si>
    <t>Autoimmune Encephalopathy</t>
  </si>
  <si>
    <t>Locked Joint Syndrome</t>
  </si>
  <si>
    <t>Cholangiocarcinoma</t>
  </si>
  <si>
    <t>Stevens-Jonson Syndrome</t>
  </si>
  <si>
    <t>Crohn's Disease</t>
  </si>
  <si>
    <t>Interstatial Lung Disease, likely Sarcoidosis</t>
  </si>
  <si>
    <t>Bacterial or viral pneumonia (potentially COVID-19 related)</t>
  </si>
  <si>
    <t>Uveitis with latent tuberculosis infection</t>
  </si>
  <si>
    <t>The chain of thought seems to be hard-coded, would not skip this step despite prompts.</t>
  </si>
  <si>
    <t>Llama3:8B</t>
  </si>
  <si>
    <t>Pneumonia</t>
  </si>
  <si>
    <t>Lymphoma</t>
  </si>
  <si>
    <t>Lymphocytic Meningoradiculitis</t>
  </si>
  <si>
    <t>Rickets</t>
  </si>
  <si>
    <t>Thyroiditis</t>
  </si>
  <si>
    <t>Hidradenitis Supprativa</t>
  </si>
  <si>
    <t>Lyme disease</t>
  </si>
  <si>
    <t>Pulmonary Aspergillosis (Invasive) with Pulmonary Nodular Opacities and Bronchial Wall Thickening</t>
  </si>
  <si>
    <t>Juvenile Idiopathic Uveitis</t>
  </si>
  <si>
    <t>Meditron:7B</t>
  </si>
  <si>
    <t>Will not properly process the prompts</t>
  </si>
  <si>
    <t>Medllama2</t>
  </si>
  <si>
    <t>HIV infection with Amyotrophic lateral sclerosis</t>
  </si>
  <si>
    <t>No definitive diagnosis</t>
  </si>
  <si>
    <t>Hypocalcemia with possible hyperparathyroidism</t>
  </si>
  <si>
    <t>Systemic lupus</t>
  </si>
  <si>
    <t>Erythema-induced bullae syndrome (EIBS) likely due to HIV-associated erythema infectiosum</t>
  </si>
  <si>
    <t>Lyme arthritis</t>
  </si>
  <si>
    <t>hypersensitivity pneumonitis</t>
  </si>
  <si>
    <t>Adult respiratory distress syndrome (ARDS)</t>
  </si>
  <si>
    <t>Uveitis with tuberculosis</t>
  </si>
  <si>
    <t>The straight diagnosis prompt was ignored about half the time.</t>
  </si>
  <si>
    <t>Gemma 3:12B</t>
  </si>
  <si>
    <t>HIV-associated cerebral lymphoma</t>
  </si>
  <si>
    <t>Neuro-Behcet's Disease (NBd)</t>
  </si>
  <si>
    <t>Orbital pseudotumor</t>
  </si>
  <si>
    <t>Necrotizing fasciitis</t>
  </si>
  <si>
    <t>Chronic Pulmonary Aspergillosis</t>
  </si>
  <si>
    <t>Alveolar Hemmorrhage</t>
  </si>
  <si>
    <t>Deepseek-r1:14B</t>
  </si>
  <si>
    <t>histoplasmosis</t>
  </si>
  <si>
    <t>CNS Lymphoma</t>
  </si>
  <si>
    <t>Chronic meningitis with common variable immunodeficiency</t>
  </si>
  <si>
    <t>Cellulitis with bullae formation caused by bacterial infection</t>
  </si>
  <si>
    <t>Goodpasture Syndrome</t>
  </si>
  <si>
    <t>Tuberculous Uveitis</t>
  </si>
  <si>
    <t>Vitamin D deficiency - Rickets</t>
  </si>
  <si>
    <t>Invasive pulmonary aspergillosis</t>
  </si>
  <si>
    <t>GPT 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</si>
</sst>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wrapText="1"/>
    </xf>
    <xf numFmtId="0" fontId="3" fillId="4" borderId="0" xfId="3" applyAlignment="1">
      <alignment wrapText="1"/>
    </xf>
    <xf numFmtId="0" fontId="2" fillId="3" borderId="0" xfId="2" applyAlignment="1">
      <alignment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5DA8-CD40-40D0-821A-E2B90C78BCA4}">
  <dimension ref="A1:M23"/>
  <sheetViews>
    <sheetView workbookViewId="0">
      <pane ySplit="1" topLeftCell="A5" activePane="bottomLeft" state="frozen"/>
      <selection pane="bottomLeft" activeCell="A3" sqref="A3:XFD3"/>
    </sheetView>
  </sheetViews>
  <sheetFormatPr defaultRowHeight="15" x14ac:dyDescent="0.25"/>
  <cols>
    <col min="1" max="1" width="18.140625" customWidth="1"/>
    <col min="2" max="2" width="35.42578125" customWidth="1"/>
    <col min="3" max="4" width="27.28515625" customWidth="1"/>
    <col min="5" max="5" width="31.5703125" customWidth="1"/>
    <col min="6" max="6" width="20.5703125" customWidth="1"/>
    <col min="7" max="7" width="21.5703125" customWidth="1"/>
    <col min="8" max="8" width="18.28515625" customWidth="1"/>
    <col min="9" max="9" width="15.42578125" customWidth="1"/>
    <col min="10" max="10" width="18" customWidth="1"/>
    <col min="11" max="11" width="20.85546875" customWidth="1"/>
    <col min="13" max="13" width="18.28515625" customWidth="1"/>
  </cols>
  <sheetData>
    <row r="1" spans="1:13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7</v>
      </c>
      <c r="M1" t="s">
        <v>40</v>
      </c>
    </row>
    <row r="2" spans="1:13" ht="30" x14ac:dyDescent="0.25">
      <c r="A2" t="s">
        <v>2</v>
      </c>
      <c r="B2" s="1" t="s">
        <v>4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28</v>
      </c>
      <c r="H2" s="1" t="s">
        <v>8</v>
      </c>
      <c r="I2" s="1" t="s">
        <v>8</v>
      </c>
      <c r="J2" s="1" t="s">
        <v>8</v>
      </c>
      <c r="K2" s="1" t="s">
        <v>37</v>
      </c>
      <c r="L2" s="1"/>
    </row>
    <row r="3" spans="1:13" ht="45" x14ac:dyDescent="0.25">
      <c r="A3" t="s">
        <v>3</v>
      </c>
      <c r="B3" s="1" t="s">
        <v>5</v>
      </c>
      <c r="C3" s="1" t="s">
        <v>9</v>
      </c>
      <c r="D3" s="1" t="s">
        <v>11</v>
      </c>
      <c r="E3" s="1" t="s">
        <v>24</v>
      </c>
      <c r="F3" s="1" t="s">
        <v>26</v>
      </c>
      <c r="G3" s="1" t="s">
        <v>29</v>
      </c>
      <c r="H3" s="1" t="s">
        <v>31</v>
      </c>
      <c r="I3" s="1" t="s">
        <v>33</v>
      </c>
      <c r="J3" s="1" t="s">
        <v>35</v>
      </c>
      <c r="K3" s="1" t="s">
        <v>38</v>
      </c>
      <c r="L3" s="1"/>
    </row>
    <row r="4" spans="1:13" ht="45" x14ac:dyDescent="0.25">
      <c r="A4" t="s">
        <v>1</v>
      </c>
      <c r="B4" s="3" t="s">
        <v>6</v>
      </c>
      <c r="C4" s="4" t="s">
        <v>10</v>
      </c>
      <c r="D4" s="4" t="s">
        <v>12</v>
      </c>
      <c r="E4" s="3" t="s">
        <v>25</v>
      </c>
      <c r="F4" s="4" t="s">
        <v>27</v>
      </c>
      <c r="G4" s="4" t="s">
        <v>30</v>
      </c>
      <c r="H4" s="4" t="s">
        <v>32</v>
      </c>
      <c r="I4" s="4" t="s">
        <v>34</v>
      </c>
      <c r="J4" s="4" t="s">
        <v>36</v>
      </c>
      <c r="K4" s="4" t="s">
        <v>39</v>
      </c>
      <c r="L4" s="1">
        <v>0.1</v>
      </c>
      <c r="M4" s="1" t="s">
        <v>41</v>
      </c>
    </row>
    <row r="5" spans="1:13" ht="90" x14ac:dyDescent="0.25">
      <c r="A5" t="s">
        <v>42</v>
      </c>
      <c r="B5" s="3" t="s">
        <v>6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2" t="s">
        <v>48</v>
      </c>
      <c r="I5" s="4" t="s">
        <v>49</v>
      </c>
      <c r="J5" s="4" t="s">
        <v>50</v>
      </c>
      <c r="K5" s="3" t="s">
        <v>51</v>
      </c>
      <c r="L5" s="1">
        <v>0.2</v>
      </c>
      <c r="M5" s="1" t="s">
        <v>52</v>
      </c>
    </row>
    <row r="6" spans="1:13" ht="120" x14ac:dyDescent="0.25">
      <c r="A6" t="s">
        <v>53</v>
      </c>
      <c r="B6" s="4" t="s">
        <v>54</v>
      </c>
      <c r="C6" s="4" t="s">
        <v>55</v>
      </c>
      <c r="D6" s="4" t="s">
        <v>56</v>
      </c>
      <c r="E6" s="2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54</v>
      </c>
      <c r="K6" s="4" t="s">
        <v>62</v>
      </c>
      <c r="L6" s="1">
        <v>0.1</v>
      </c>
    </row>
    <row r="7" spans="1:13" x14ac:dyDescent="0.25">
      <c r="A7" t="s">
        <v>63</v>
      </c>
      <c r="B7" s="3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t="s">
        <v>64</v>
      </c>
    </row>
    <row r="8" spans="1:13" ht="75" x14ac:dyDescent="0.25">
      <c r="A8" t="s">
        <v>65</v>
      </c>
      <c r="B8" s="3" t="s">
        <v>4</v>
      </c>
      <c r="C8" s="3" t="s">
        <v>66</v>
      </c>
      <c r="D8" s="4" t="s">
        <v>67</v>
      </c>
      <c r="E8" s="3" t="s">
        <v>68</v>
      </c>
      <c r="F8" s="4" t="s">
        <v>69</v>
      </c>
      <c r="G8" s="4" t="s">
        <v>70</v>
      </c>
      <c r="H8" s="4" t="s">
        <v>71</v>
      </c>
      <c r="I8" s="3" t="s">
        <v>72</v>
      </c>
      <c r="J8" s="4" t="s">
        <v>73</v>
      </c>
      <c r="K8" s="3" t="s">
        <v>74</v>
      </c>
      <c r="L8" s="1">
        <v>0.25</v>
      </c>
      <c r="M8" s="1" t="s">
        <v>75</v>
      </c>
    </row>
    <row r="9" spans="1:13" ht="45" x14ac:dyDescent="0.25">
      <c r="A9" t="s">
        <v>76</v>
      </c>
      <c r="B9" s="3" t="s">
        <v>4</v>
      </c>
      <c r="C9" s="3" t="s">
        <v>77</v>
      </c>
      <c r="D9" s="4" t="s">
        <v>78</v>
      </c>
      <c r="E9" s="3" t="s">
        <v>25</v>
      </c>
      <c r="F9" s="4" t="s">
        <v>79</v>
      </c>
      <c r="G9" s="4" t="s">
        <v>80</v>
      </c>
      <c r="H9" s="4" t="s">
        <v>60</v>
      </c>
      <c r="I9" s="4" t="s">
        <v>81</v>
      </c>
      <c r="J9" s="4" t="s">
        <v>82</v>
      </c>
      <c r="K9" s="4" t="s">
        <v>39</v>
      </c>
      <c r="L9" s="1">
        <v>0.15</v>
      </c>
    </row>
    <row r="10" spans="1:13" ht="45" x14ac:dyDescent="0.25">
      <c r="A10" t="s">
        <v>83</v>
      </c>
      <c r="B10" s="2" t="s">
        <v>84</v>
      </c>
      <c r="C10" s="4" t="s">
        <v>85</v>
      </c>
      <c r="D10" s="4" t="s">
        <v>86</v>
      </c>
      <c r="E10" s="2" t="s">
        <v>90</v>
      </c>
      <c r="F10" s="4" t="s">
        <v>38</v>
      </c>
      <c r="G10" s="3" t="s">
        <v>87</v>
      </c>
      <c r="H10" s="4" t="s">
        <v>60</v>
      </c>
      <c r="I10" s="4" t="s">
        <v>91</v>
      </c>
      <c r="J10" s="4" t="s">
        <v>88</v>
      </c>
      <c r="K10" s="3" t="s">
        <v>89</v>
      </c>
      <c r="L10" s="1">
        <v>0.3</v>
      </c>
    </row>
    <row r="11" spans="1:13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3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3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3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3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23" spans="2:12" x14ac:dyDescent="0.25">
      <c r="D2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599E-3DD6-4B68-B1F2-001E477A6D7C}">
  <dimension ref="A1:M6"/>
  <sheetViews>
    <sheetView tabSelected="1" workbookViewId="0">
      <selection activeCell="K6" sqref="K6"/>
    </sheetView>
  </sheetViews>
  <sheetFormatPr defaultRowHeight="15" x14ac:dyDescent="0.25"/>
  <cols>
    <col min="1" max="1" width="20.5703125" customWidth="1"/>
    <col min="2" max="2" width="34.85546875" customWidth="1"/>
    <col min="3" max="3" width="32" customWidth="1"/>
    <col min="4" max="4" width="22.7109375" customWidth="1"/>
    <col min="5" max="5" width="17.5703125" customWidth="1"/>
    <col min="6" max="6" width="17.140625" customWidth="1"/>
    <col min="7" max="7" width="18.28515625" customWidth="1"/>
    <col min="8" max="8" width="17.85546875" customWidth="1"/>
    <col min="9" max="9" width="26.140625" customWidth="1"/>
    <col min="10" max="10" width="17.85546875" customWidth="1"/>
    <col min="11" max="11" width="16.28515625" customWidth="1"/>
    <col min="12" max="12" width="11.28515625" customWidth="1"/>
  </cols>
  <sheetData>
    <row r="1" spans="1:13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7</v>
      </c>
      <c r="M1" t="s">
        <v>40</v>
      </c>
    </row>
    <row r="2" spans="1:13" ht="30" x14ac:dyDescent="0.25">
      <c r="A2" t="s">
        <v>2</v>
      </c>
      <c r="B2" s="1" t="s">
        <v>4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28</v>
      </c>
      <c r="H2" s="1" t="s">
        <v>8</v>
      </c>
      <c r="I2" s="1" t="s">
        <v>8</v>
      </c>
      <c r="J2" s="1" t="s">
        <v>8</v>
      </c>
      <c r="K2" s="1" t="s">
        <v>37</v>
      </c>
      <c r="L2" s="1"/>
    </row>
    <row r="3" spans="1:13" ht="45" x14ac:dyDescent="0.25">
      <c r="A3" t="s">
        <v>3</v>
      </c>
      <c r="B3" s="1" t="s">
        <v>5</v>
      </c>
      <c r="C3" s="1" t="s">
        <v>9</v>
      </c>
      <c r="D3" s="1" t="s">
        <v>11</v>
      </c>
      <c r="E3" s="1" t="s">
        <v>24</v>
      </c>
      <c r="F3" s="1" t="s">
        <v>26</v>
      </c>
      <c r="G3" s="1" t="s">
        <v>29</v>
      </c>
      <c r="H3" s="1" t="s">
        <v>31</v>
      </c>
      <c r="I3" s="1" t="s">
        <v>33</v>
      </c>
      <c r="J3" s="1" t="s">
        <v>35</v>
      </c>
      <c r="K3" s="1" t="s">
        <v>38</v>
      </c>
      <c r="L3" s="1"/>
    </row>
    <row r="4" spans="1:13" x14ac:dyDescent="0.25">
      <c r="A4" t="s">
        <v>83</v>
      </c>
      <c r="B4">
        <f>0.45+0.6</f>
        <v>1.05</v>
      </c>
      <c r="C4">
        <v>1</v>
      </c>
      <c r="D4">
        <v>0</v>
      </c>
      <c r="E4">
        <v>1</v>
      </c>
      <c r="F4">
        <v>0</v>
      </c>
      <c r="G4">
        <v>0.4</v>
      </c>
      <c r="H4">
        <v>0.1</v>
      </c>
      <c r="I4">
        <v>0</v>
      </c>
      <c r="J4">
        <v>0.1</v>
      </c>
      <c r="K4">
        <f>0.6+0.43</f>
        <v>1.03</v>
      </c>
      <c r="L4">
        <f>SUM(B4:K4)/10</f>
        <v>0.46799999999999997</v>
      </c>
    </row>
    <row r="5" spans="1:13" x14ac:dyDescent="0.25">
      <c r="A5" t="s">
        <v>65</v>
      </c>
      <c r="B5">
        <v>0.5</v>
      </c>
      <c r="C5">
        <v>1</v>
      </c>
      <c r="D5">
        <v>0</v>
      </c>
      <c r="E5">
        <v>0</v>
      </c>
      <c r="F5">
        <v>0</v>
      </c>
      <c r="G5">
        <v>0.25</v>
      </c>
      <c r="H5">
        <v>0</v>
      </c>
      <c r="I5">
        <v>0.5</v>
      </c>
      <c r="J5">
        <v>0</v>
      </c>
      <c r="K5">
        <f>0.6</f>
        <v>0.6</v>
      </c>
      <c r="L5">
        <f t="shared" ref="L5:L6" si="0">SUM(B5:K5)/10</f>
        <v>0.28500000000000003</v>
      </c>
    </row>
    <row r="6" spans="1:13" x14ac:dyDescent="0.25">
      <c r="A6" t="s">
        <v>92</v>
      </c>
      <c r="B6">
        <v>1.05</v>
      </c>
      <c r="C6">
        <v>0.81</v>
      </c>
      <c r="D6">
        <v>0</v>
      </c>
      <c r="E6">
        <v>0.92</v>
      </c>
      <c r="F6">
        <v>0</v>
      </c>
      <c r="G6">
        <v>0</v>
      </c>
      <c r="H6">
        <v>0.4</v>
      </c>
      <c r="I6">
        <v>0.5</v>
      </c>
      <c r="J6">
        <v>0.3</v>
      </c>
      <c r="K6">
        <f>0.85+0.35</f>
        <v>1.2</v>
      </c>
      <c r="L6">
        <f t="shared" si="0"/>
        <v>0.51800000000000002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Stewart</dc:creator>
  <cp:lastModifiedBy>Matt Stewart</cp:lastModifiedBy>
  <dcterms:created xsi:type="dcterms:W3CDTF">2025-04-27T09:20:21Z</dcterms:created>
  <dcterms:modified xsi:type="dcterms:W3CDTF">2025-05-02T06:29:12Z</dcterms:modified>
</cp:coreProperties>
</file>